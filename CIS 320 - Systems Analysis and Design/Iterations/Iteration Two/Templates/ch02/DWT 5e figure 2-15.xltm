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 codeName="{00000000-0000-0000-0000-000000000000}"/>
  <workbookPr date1904="1" showInkAnnotation="0" codeName="ThisWorkbook" autoCompressPictures="0"/>
  <bookViews>
    <workbookView xWindow="160" yWindow="0" windowWidth="25600" windowHeight="19820" tabRatio="500"/>
  </bookViews>
  <sheets>
    <sheet name="Sheet1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0" i="1" l="1"/>
  <c r="E41" i="1"/>
  <c r="E42" i="1"/>
  <c r="E43" i="1"/>
  <c r="E44" i="1"/>
  <c r="E45" i="1"/>
  <c r="E46" i="1"/>
  <c r="E47" i="1"/>
  <c r="E48" i="1"/>
  <c r="E5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6" i="1"/>
  <c r="E5" i="1"/>
  <c r="E6" i="1"/>
  <c r="E7" i="1"/>
  <c r="E8" i="1"/>
  <c r="E12" i="1"/>
  <c r="E13" i="1"/>
  <c r="E14" i="1"/>
  <c r="E15" i="1"/>
  <c r="E17" i="1"/>
  <c r="E52" i="1"/>
  <c r="E56" i="1"/>
</calcChain>
</file>

<file path=xl/sharedStrings.xml><?xml version="1.0" encoding="utf-8"?>
<sst xmlns="http://schemas.openxmlformats.org/spreadsheetml/2006/main" count="92" uniqueCount="86">
  <si>
    <t>Adjusted Use Case Points (UCP) = UUCP * TCF * ECF</t>
    <phoneticPr fontId="4" type="noConversion"/>
  </si>
  <si>
    <t>Effort in Personal Hours = UCP * PHM</t>
    <phoneticPr fontId="4" type="noConversion"/>
  </si>
  <si>
    <t>Distributed system</t>
  </si>
  <si>
    <t>Response time or throughput performance objectives</t>
  </si>
  <si>
    <t>End-user online efficiency</t>
  </si>
  <si>
    <t>Complex internal processing</t>
  </si>
  <si>
    <t>Reusability of code</t>
  </si>
  <si>
    <t>Easy to install</t>
  </si>
  <si>
    <t>Ease of use</t>
  </si>
  <si>
    <t>Portability</t>
  </si>
  <si>
    <t>Ease of change</t>
  </si>
  <si>
    <t>Concurrency</t>
  </si>
  <si>
    <t>Special security objectives included</t>
  </si>
  <si>
    <t>Direct access for third parties</t>
  </si>
  <si>
    <t>Special user training required</t>
  </si>
  <si>
    <t>DESCRIPTION</t>
    <phoneticPr fontId="4" type="noConversion"/>
  </si>
  <si>
    <t>Technical Factor Value (TFactor)</t>
    <phoneticPr fontId="4" type="noConversion"/>
  </si>
  <si>
    <t>Technical Complexity Factor (TCF) = 0.6 + (0.01 * TFactor)</t>
    <phoneticPr fontId="4" type="noConversion"/>
  </si>
  <si>
    <t>Environmental Factors</t>
  </si>
  <si>
    <t>E1</t>
  </si>
  <si>
    <t>E2</t>
  </si>
  <si>
    <t>E3</t>
  </si>
  <si>
    <t>E4</t>
  </si>
  <si>
    <t>E5</t>
  </si>
  <si>
    <t>E6</t>
  </si>
  <si>
    <t>E7</t>
  </si>
  <si>
    <t>E8</t>
  </si>
  <si>
    <t>Familiarity with system development process being used</t>
  </si>
  <si>
    <t>Application experience</t>
  </si>
  <si>
    <t>Object-oriented experience</t>
  </si>
  <si>
    <t>Lead analyst capability</t>
  </si>
  <si>
    <t>Motivation</t>
  </si>
  <si>
    <t>Requirements stability</t>
  </si>
  <si>
    <t>Part time staff</t>
  </si>
  <si>
    <t>Difficulty of programming language</t>
  </si>
  <si>
    <t>FACTOR NUMBER</t>
    <phoneticPr fontId="4" type="noConversion"/>
  </si>
  <si>
    <t>DESCRIPTION</t>
    <phoneticPr fontId="4" type="noConversion"/>
  </si>
  <si>
    <t>WEIGHT</t>
    <phoneticPr fontId="4" type="noConversion"/>
  </si>
  <si>
    <t>ASSIGNED VALUE      (0-5)</t>
    <phoneticPr fontId="4" type="noConversion"/>
  </si>
  <si>
    <t>WEIGHTED VALUE</t>
    <phoneticPr fontId="4" type="noConversion"/>
  </si>
  <si>
    <t>NOTES</t>
    <phoneticPr fontId="4" type="noConversion"/>
  </si>
  <si>
    <t>Environmental Factor Value (EFactor)</t>
    <phoneticPr fontId="4" type="noConversion"/>
  </si>
  <si>
    <t>Environmental Factor (EF) = 1.4 + (-0.03 * EFactor)</t>
    <phoneticPr fontId="4" type="noConversion"/>
  </si>
  <si>
    <t>Unadjusted Actor Weighting Table</t>
  </si>
  <si>
    <t>ACTOR TYPE</t>
    <phoneticPr fontId="4" type="noConversion"/>
  </si>
  <si>
    <t>WEIGHTING FACTOR</t>
    <phoneticPr fontId="4" type="noConversion"/>
  </si>
  <si>
    <t>Simple</t>
    <phoneticPr fontId="4" type="noConversion"/>
  </si>
  <si>
    <t>DESCRIPTION</t>
    <phoneticPr fontId="4" type="noConversion"/>
  </si>
  <si>
    <t>NUMBER</t>
    <phoneticPr fontId="4" type="noConversion"/>
  </si>
  <si>
    <t>RESULT</t>
    <phoneticPr fontId="4" type="noConversion"/>
  </si>
  <si>
    <t>Average</t>
    <phoneticPr fontId="4" type="noConversion"/>
  </si>
  <si>
    <t>Complex</t>
    <phoneticPr fontId="4" type="noConversion"/>
  </si>
  <si>
    <t>External system with well-defined API</t>
    <phoneticPr fontId="4" type="noConversion"/>
  </si>
  <si>
    <t>External system using a protocol-based interface, e.g., HTTP, TCT/IP, or a database</t>
    <phoneticPr fontId="4" type="noConversion"/>
  </si>
  <si>
    <t>Human</t>
    <phoneticPr fontId="4" type="noConversion"/>
  </si>
  <si>
    <t>Unadjusted Actor Weight Total (UAW)</t>
  </si>
  <si>
    <t>Use Case Point Estimation Worksheet</t>
    <phoneticPr fontId="4" type="noConversion"/>
  </si>
  <si>
    <t>Unadjusted Use Case Weighting Table</t>
    <phoneticPr fontId="4" type="noConversion"/>
  </si>
  <si>
    <t>USE CASE TYPE</t>
    <phoneticPr fontId="4" type="noConversion"/>
  </si>
  <si>
    <t>WEIGHTING FACTOR</t>
    <phoneticPr fontId="4" type="noConversion"/>
  </si>
  <si>
    <t>1-3 transactions</t>
    <phoneticPr fontId="4" type="noConversion"/>
  </si>
  <si>
    <t>4-7 transactions</t>
    <phoneticPr fontId="4" type="noConversion"/>
  </si>
  <si>
    <t>&gt; 7 transactions</t>
    <phoneticPr fontId="4" type="noConversion"/>
  </si>
  <si>
    <t>Unadjusted Use Case Weight Total (UUCW)</t>
    <phoneticPr fontId="4" type="noConversion"/>
  </si>
  <si>
    <t>Unadjusted Use Case Points (UUCP) = UAW + UUCW</t>
    <phoneticPr fontId="4" type="noConversion"/>
  </si>
  <si>
    <t>Technical Complexity Factors</t>
    <phoneticPr fontId="4" type="noConversion"/>
  </si>
  <si>
    <t>FACTOR NUMBER</t>
    <phoneticPr fontId="4" type="noConversion"/>
  </si>
  <si>
    <t>WEIGHT</t>
    <phoneticPr fontId="4" type="noConversion"/>
  </si>
  <si>
    <t>WEIGHTED VALUE</t>
    <phoneticPr fontId="4" type="noConversion"/>
  </si>
  <si>
    <t>NOTES</t>
    <phoneticPr fontId="4" type="noConversion"/>
  </si>
  <si>
    <t>ASSIGNED VALUE      (0-5)</t>
    <phoneticPr fontId="4" type="noConversion"/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</si>
  <si>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</si>
  <si>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</si>
  <si>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</si>
  <si>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</si>
  <si>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</si>
  <si>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</si>
  <si>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</si>
  <si>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</si>
  <si>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</si>
  <si>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</si>
  <si>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</si>
  <si>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</si>
  <si>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</si>
  <si>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If PHM = 999, Then risk of Project Failure is too high</t>
  </si>
  <si>
    <t>PHM (run the RunPHMComputattion macro after filling in the worksheet)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</si>
</sst>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4" x14ac:knownFonts="1">
    <font>
      <sz val="10"/>
      <name val="Verdana"/>
    </font>
    <font>
      <b/>
      <sz val="10"/>
      <name val="Verdana"/>
    </font>
    <font>
      <b/>
      <i/>
      <sz val="10"/>
      <name val="Verdana"/>
    </font>
    <font>
      <sz val="10"/>
      <name val="Verdana"/>
    </font>
    <font>
      <sz val="8"/>
      <name val="Verdana"/>
    </font>
    <font>
      <b/>
      <i/>
      <sz val="9"/>
      <name val="Verdana"/>
    </font>
    <font>
      <sz val="20"/>
      <color indexed="63"/>
      <name val="Verdana"/>
    </font>
    <font>
      <sz val="20"/>
      <name val="Verdana"/>
    </font>
    <font>
      <b/>
      <sz val="10"/>
      <color indexed="63"/>
      <name val="Verdana"/>
    </font>
    <font>
      <sz val="10"/>
      <color indexed="8"/>
      <name val="Verdana"/>
    </font>
    <font>
      <sz val="9"/>
      <color indexed="63"/>
      <name val="Verdana"/>
    </font>
    <font>
      <sz val="10"/>
      <color indexed="63"/>
      <name val="Verdana"/>
    </font>
    <font>
      <b/>
      <i/>
      <sz val="10"/>
      <color indexed="63"/>
      <name val="Verdana"/>
    </font>
    <font>
      <sz val="10"/>
      <name val="Verdana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Alignment="1">
      <alignment wrapText="1"/>
    </xf>
    <xf numFmtId="0" fontId="8" fillId="0" borderId="0" xfId="0" applyFont="1"/>
    <xf numFmtId="0" fontId="1" fillId="0" borderId="1" xfId="0" applyFont="1" applyBorder="1" applyAlignment="1">
      <alignment wrapText="1"/>
    </xf>
    <xf numFmtId="0" fontId="7" fillId="0" borderId="0" xfId="0" applyFont="1" applyAlignmen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0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5" xfId="0" applyBorder="1"/>
    <xf numFmtId="0" fontId="0" fillId="0" borderId="2" xfId="0" applyBorder="1" applyAlignment="1">
      <alignment wrapText="1"/>
    </xf>
    <xf numFmtId="0" fontId="1" fillId="0" borderId="1" xfId="0" applyFont="1" applyBorder="1"/>
    <xf numFmtId="0" fontId="10" fillId="0" borderId="0" xfId="0" applyFont="1" applyAlignment="1">
      <alignment vertical="top" wrapText="1"/>
    </xf>
    <xf numFmtId="0" fontId="9" fillId="0" borderId="6" xfId="0" applyFont="1" applyBorder="1" applyAlignment="1">
      <alignment vertical="top" wrapText="1"/>
    </xf>
    <xf numFmtId="0" fontId="11" fillId="0" borderId="3" xfId="0" applyFont="1" applyBorder="1" applyAlignment="1">
      <alignment vertical="top" wrapText="1"/>
    </xf>
    <xf numFmtId="0" fontId="0" fillId="0" borderId="7" xfId="0" applyBorder="1"/>
    <xf numFmtId="0" fontId="9" fillId="0" borderId="5" xfId="0" applyFont="1" applyBorder="1" applyAlignment="1">
      <alignment vertical="top" wrapText="1"/>
    </xf>
    <xf numFmtId="0" fontId="11" fillId="0" borderId="0" xfId="0" applyFont="1" applyBorder="1" applyAlignment="1">
      <alignment vertical="top" wrapText="1"/>
    </xf>
    <xf numFmtId="0" fontId="9" fillId="0" borderId="8" xfId="0" applyFont="1" applyBorder="1" applyAlignment="1">
      <alignment vertical="top" wrapText="1"/>
    </xf>
    <xf numFmtId="0" fontId="11" fillId="0" borderId="4" xfId="0" applyFont="1" applyBorder="1" applyAlignment="1">
      <alignment vertical="top" wrapText="1"/>
    </xf>
    <xf numFmtId="0" fontId="0" fillId="0" borderId="9" xfId="0" applyBorder="1"/>
    <xf numFmtId="0" fontId="12" fillId="0" borderId="0" xfId="0" applyFont="1"/>
    <xf numFmtId="0" fontId="1" fillId="0" borderId="1" xfId="0" applyFont="1" applyBorder="1" applyAlignment="1">
      <alignment horizontal="left" wrapText="1"/>
    </xf>
    <xf numFmtId="0" fontId="13" fillId="0" borderId="0" xfId="0" applyFont="1"/>
    <xf numFmtId="0" fontId="10" fillId="0" borderId="6" xfId="0" applyFont="1" applyBorder="1" applyAlignment="1">
      <alignment vertical="top" wrapText="1"/>
    </xf>
    <xf numFmtId="0" fontId="10" fillId="0" borderId="5" xfId="0" applyFont="1" applyBorder="1" applyAlignment="1">
      <alignment vertical="top" wrapText="1"/>
    </xf>
    <xf numFmtId="0" fontId="13" fillId="0" borderId="2" xfId="0" applyFont="1" applyBorder="1"/>
    <xf numFmtId="0" fontId="10" fillId="0" borderId="8" xfId="0" applyFont="1" applyBorder="1" applyAlignment="1">
      <alignment vertical="top" wrapText="1"/>
    </xf>
    <xf numFmtId="0" fontId="10" fillId="0" borderId="4" xfId="0" applyFont="1" applyBorder="1" applyAlignment="1">
      <alignment vertical="top" wrapText="1"/>
    </xf>
    <xf numFmtId="0" fontId="13" fillId="0" borderId="4" xfId="0" applyFont="1" applyBorder="1"/>
    <xf numFmtId="0" fontId="13" fillId="0" borderId="9" xfId="0" applyFont="1" applyBorder="1"/>
    <xf numFmtId="0" fontId="3" fillId="0" borderId="0" xfId="0" applyFont="1"/>
    <xf numFmtId="0" fontId="13" fillId="0" borderId="0" xfId="0" applyFont="1" applyAlignment="1"/>
    <xf numFmtId="0" fontId="12" fillId="0" borderId="0" xfId="0" applyFont="1" applyFill="1" applyBorder="1" applyAlignment="1">
      <alignment vertical="top"/>
    </xf>
    <xf numFmtId="0" fontId="2" fillId="0" borderId="0" xfId="0" applyFont="1" applyAlignment="1"/>
    <xf numFmtId="0" fontId="0" fillId="2" borderId="1" xfId="0" applyFill="1" applyBorder="1"/>
    <xf numFmtId="164" fontId="11" fillId="0" borderId="3" xfId="0" applyNumberFormat="1" applyFont="1" applyBorder="1" applyAlignment="1">
      <alignment horizontal="left" vertical="top" wrapText="1"/>
    </xf>
    <xf numFmtId="164" fontId="11" fillId="0" borderId="0" xfId="0" applyNumberFormat="1" applyFont="1" applyBorder="1" applyAlignment="1">
      <alignment horizontal="left" vertical="top" wrapText="1"/>
    </xf>
    <xf numFmtId="164" fontId="11" fillId="0" borderId="4" xfId="0" applyNumberFormat="1" applyFont="1" applyBorder="1" applyAlignment="1">
      <alignment horizontal="left" vertical="top" wrapText="1"/>
    </xf>
    <xf numFmtId="164" fontId="10" fillId="0" borderId="0" xfId="0" applyNumberFormat="1" applyFont="1" applyAlignment="1">
      <alignment horizontal="left" vertical="top" wrapText="1"/>
    </xf>
    <xf numFmtId="164" fontId="10" fillId="0" borderId="4" xfId="0" applyNumberFormat="1" applyFont="1" applyBorder="1" applyAlignment="1">
      <alignment horizontal="left" vertical="top" wrapText="1"/>
    </xf>
    <xf numFmtId="1" fontId="13" fillId="0" borderId="0" xfId="0" applyNumberFormat="1" applyFont="1"/>
    <xf numFmtId="1" fontId="0" fillId="0" borderId="3" xfId="0" applyNumberFormat="1" applyBorder="1"/>
    <xf numFmtId="0" fontId="0" fillId="0" borderId="0" xfId="0" applyFont="1" applyFill="1" applyBorder="1"/>
    <xf numFmtId="0" fontId="0" fillId="0" borderId="0" xfId="0" applyFill="1" applyBorder="1"/>
    <xf numFmtId="0" fontId="0" fillId="0" borderId="0" xfId="0" applyFont="1" applyAlignment="1">
      <alignment wrapText="1"/>
    </xf>
    <xf numFmtId="0" fontId="5" fillId="0" borderId="1" xfId="0" applyFont="1" applyBorder="1" applyAlignment="1">
      <alignment horizontal="right"/>
    </xf>
    <xf numFmtId="0" fontId="0" fillId="0" borderId="1" xfId="0" applyBorder="1" applyAlignment="1">
      <alignment horizontal="right"/>
    </xf>
    <xf numFmtId="0" fontId="6" fillId="2" borderId="10" xfId="0" applyFont="1" applyFill="1" applyBorder="1" applyAlignment="1">
      <alignment vertical="top" wrapText="1"/>
    </xf>
    <xf numFmtId="0" fontId="0" fillId="2" borderId="11" xfId="0" applyFill="1" applyBorder="1" applyAlignment="1"/>
    <xf numFmtId="0" fontId="0" fillId="2" borderId="12" xfId="0" applyFill="1" applyBorder="1" applyAlignment="1"/>
    <xf numFmtId="0" fontId="2" fillId="0" borderId="1" xfId="0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57"/>
  <sheetViews>
    <sheetView tabSelected="1" view="pageLayout" topLeftCell="A29" workbookViewId="0">
      <selection activeCell="E54" sqref="E54"/>
    </sheetView>
  </sheetViews>
  <sheetFormatPr baseColWidth="10" defaultRowHeight="13" x14ac:dyDescent="0"/>
  <cols>
    <col min="2" max="2" width="32.42578125" customWidth="1"/>
    <col min="6" max="6" width="22.28515625" customWidth="1"/>
  </cols>
  <sheetData>
    <row r="1" spans="1:6" ht="28" customHeight="1">
      <c r="A1" s="50" t="s">
        <v>56</v>
      </c>
      <c r="B1" s="51"/>
      <c r="C1" s="51"/>
      <c r="D1" s="51"/>
      <c r="E1" s="52"/>
      <c r="F1" s="4"/>
    </row>
    <row r="3" spans="1:6">
      <c r="A3" s="2" t="s">
        <v>43</v>
      </c>
    </row>
    <row r="4" spans="1:6" ht="26">
      <c r="A4" s="3" t="s">
        <v>44</v>
      </c>
      <c r="B4" s="3" t="s">
        <v>47</v>
      </c>
      <c r="C4" s="3" t="s">
        <v>45</v>
      </c>
      <c r="D4" s="3" t="s">
        <v>48</v>
      </c>
      <c r="E4" s="3" t="s">
        <v>49</v>
      </c>
      <c r="F4" s="1"/>
    </row>
    <row r="5" spans="1:6">
      <c r="A5" s="10" t="s">
        <v>46</v>
      </c>
      <c r="B5" s="9" t="s">
        <v>52</v>
      </c>
      <c r="C5" s="9">
        <v>1</v>
      </c>
      <c r="D5" s="9"/>
      <c r="E5" s="12">
        <f>C5*D5</f>
        <v>0</v>
      </c>
      <c r="F5" s="1"/>
    </row>
    <row r="6" spans="1:6" ht="26">
      <c r="A6" s="11" t="s">
        <v>50</v>
      </c>
      <c r="B6" s="9" t="s">
        <v>53</v>
      </c>
      <c r="C6" s="7">
        <v>2</v>
      </c>
      <c r="D6" s="7"/>
      <c r="E6" s="12">
        <f>C6*D6</f>
        <v>0</v>
      </c>
    </row>
    <row r="7" spans="1:6">
      <c r="A7" s="11" t="s">
        <v>51</v>
      </c>
      <c r="B7" s="7" t="s">
        <v>54</v>
      </c>
      <c r="C7" s="7">
        <v>3</v>
      </c>
      <c r="D7" s="7"/>
      <c r="E7" s="12">
        <f>C7*D7</f>
        <v>0</v>
      </c>
    </row>
    <row r="8" spans="1:6">
      <c r="A8" s="48" t="s">
        <v>55</v>
      </c>
      <c r="B8" s="49"/>
      <c r="C8" s="49"/>
      <c r="D8" s="49"/>
      <c r="E8" s="37">
        <f>SUM(E5:E7)</f>
        <v>0</v>
      </c>
    </row>
    <row r="10" spans="1:6">
      <c r="A10" s="2" t="s">
        <v>57</v>
      </c>
    </row>
    <row r="11" spans="1:6" ht="26">
      <c r="A11" s="3" t="s">
        <v>58</v>
      </c>
      <c r="B11" s="3" t="s">
        <v>47</v>
      </c>
      <c r="C11" s="3" t="s">
        <v>59</v>
      </c>
      <c r="D11" s="3" t="s">
        <v>48</v>
      </c>
      <c r="E11" s="3" t="s">
        <v>49</v>
      </c>
    </row>
    <row r="12" spans="1:6">
      <c r="A12" s="10" t="s">
        <v>46</v>
      </c>
      <c r="B12" s="7" t="s">
        <v>60</v>
      </c>
      <c r="C12">
        <v>5</v>
      </c>
      <c r="E12" s="12">
        <f>C12*D12</f>
        <v>0</v>
      </c>
    </row>
    <row r="13" spans="1:6">
      <c r="A13" s="11" t="s">
        <v>50</v>
      </c>
      <c r="B13" s="7" t="s">
        <v>61</v>
      </c>
      <c r="C13">
        <v>10</v>
      </c>
      <c r="E13" s="12">
        <f>C13*D13</f>
        <v>0</v>
      </c>
    </row>
    <row r="14" spans="1:6">
      <c r="A14" s="11" t="s">
        <v>51</v>
      </c>
      <c r="B14" s="7" t="s">
        <v>62</v>
      </c>
      <c r="C14">
        <v>15</v>
      </c>
      <c r="E14" s="12">
        <f>C14*D14</f>
        <v>0</v>
      </c>
    </row>
    <row r="15" spans="1:6">
      <c r="A15" s="48" t="s">
        <v>63</v>
      </c>
      <c r="B15" s="49"/>
      <c r="C15" s="49"/>
      <c r="D15" s="49"/>
      <c r="E15" s="37">
        <f>SUM(E12:E14)</f>
        <v>0</v>
      </c>
    </row>
    <row r="16" spans="1:6" ht="15" customHeight="1"/>
    <row r="17" spans="1:6">
      <c r="A17" s="2" t="s">
        <v>64</v>
      </c>
      <c r="E17">
        <f>E8+E15</f>
        <v>0</v>
      </c>
    </row>
    <row r="19" spans="1:6">
      <c r="A19" s="2" t="s">
        <v>65</v>
      </c>
    </row>
    <row r="20" spans="1:6" ht="39">
      <c r="A20" s="3" t="s">
        <v>66</v>
      </c>
      <c r="B20" s="3" t="s">
        <v>15</v>
      </c>
      <c r="C20" s="3" t="s">
        <v>67</v>
      </c>
      <c r="D20" s="3" t="s">
        <v>70</v>
      </c>
      <c r="E20" s="3" t="s">
        <v>68</v>
      </c>
      <c r="F20" s="13" t="s">
        <v>69</v>
      </c>
    </row>
    <row r="21" spans="1:6">
      <c r="A21" s="15" t="s">
        <v>71</v>
      </c>
      <c r="B21" s="16" t="s">
        <v>2</v>
      </c>
      <c r="C21" s="38">
        <v>2</v>
      </c>
      <c r="D21" s="6"/>
      <c r="E21" s="6">
        <f>C21*D21</f>
        <v>0</v>
      </c>
      <c r="F21" s="17"/>
    </row>
    <row r="22" spans="1:6" ht="26">
      <c r="A22" s="18" t="s">
        <v>72</v>
      </c>
      <c r="B22" s="19" t="s">
        <v>3</v>
      </c>
      <c r="C22" s="39">
        <v>1</v>
      </c>
      <c r="D22" s="7"/>
      <c r="E22" s="6">
        <f t="shared" ref="E22:E33" si="0">C22*D22</f>
        <v>0</v>
      </c>
      <c r="F22" s="5"/>
    </row>
    <row r="23" spans="1:6">
      <c r="A23" s="18" t="s">
        <v>73</v>
      </c>
      <c r="B23" s="19" t="s">
        <v>4</v>
      </c>
      <c r="C23" s="39">
        <v>1</v>
      </c>
      <c r="D23" s="7"/>
      <c r="E23" s="6">
        <f t="shared" si="0"/>
        <v>0</v>
      </c>
      <c r="F23" s="5"/>
    </row>
    <row r="24" spans="1:6">
      <c r="A24" s="18" t="s">
        <v>74</v>
      </c>
      <c r="B24" s="19" t="s">
        <v>5</v>
      </c>
      <c r="C24" s="39">
        <v>1</v>
      </c>
      <c r="D24" s="46"/>
      <c r="E24" s="6">
        <f t="shared" si="0"/>
        <v>0</v>
      </c>
      <c r="F24" s="5"/>
    </row>
    <row r="25" spans="1:6">
      <c r="A25" s="18" t="s">
        <v>75</v>
      </c>
      <c r="B25" s="19" t="s">
        <v>6</v>
      </c>
      <c r="C25" s="39">
        <v>1</v>
      </c>
      <c r="D25" s="46"/>
      <c r="E25" s="6">
        <f t="shared" si="0"/>
        <v>0</v>
      </c>
      <c r="F25" s="5"/>
    </row>
    <row r="26" spans="1:6">
      <c r="A26" s="18" t="s">
        <v>76</v>
      </c>
      <c r="B26" s="19" t="s">
        <v>7</v>
      </c>
      <c r="C26" s="39">
        <v>0.5</v>
      </c>
      <c r="D26" s="46"/>
      <c r="E26" s="6">
        <f t="shared" si="0"/>
        <v>0</v>
      </c>
      <c r="F26" s="5"/>
    </row>
    <row r="27" spans="1:6">
      <c r="A27" s="18" t="s">
        <v>77</v>
      </c>
      <c r="B27" s="19" t="s">
        <v>8</v>
      </c>
      <c r="C27" s="39">
        <v>0.5</v>
      </c>
      <c r="D27" s="46"/>
      <c r="E27" s="6">
        <f t="shared" si="0"/>
        <v>0</v>
      </c>
      <c r="F27" s="5"/>
    </row>
    <row r="28" spans="1:6">
      <c r="A28" s="18" t="s">
        <v>78</v>
      </c>
      <c r="B28" s="19" t="s">
        <v>9</v>
      </c>
      <c r="C28" s="39">
        <v>2</v>
      </c>
      <c r="D28" s="46"/>
      <c r="E28" s="6">
        <f t="shared" si="0"/>
        <v>0</v>
      </c>
      <c r="F28" s="5"/>
    </row>
    <row r="29" spans="1:6">
      <c r="A29" s="18" t="s">
        <v>79</v>
      </c>
      <c r="B29" s="19" t="s">
        <v>10</v>
      </c>
      <c r="C29" s="39">
        <v>1</v>
      </c>
      <c r="D29" s="46"/>
      <c r="E29" s="6">
        <f t="shared" si="0"/>
        <v>0</v>
      </c>
      <c r="F29" s="5"/>
    </row>
    <row r="30" spans="1:6">
      <c r="A30" s="18" t="s">
        <v>80</v>
      </c>
      <c r="B30" s="19" t="s">
        <v>11</v>
      </c>
      <c r="C30" s="39">
        <v>1</v>
      </c>
      <c r="D30" s="46"/>
      <c r="E30" s="6">
        <f t="shared" si="0"/>
        <v>0</v>
      </c>
      <c r="F30" s="5"/>
    </row>
    <row r="31" spans="1:6">
      <c r="A31" s="18" t="s">
        <v>81</v>
      </c>
      <c r="B31" s="19" t="s">
        <v>12</v>
      </c>
      <c r="C31" s="39">
        <v>1</v>
      </c>
      <c r="D31" s="46"/>
      <c r="E31" s="6">
        <f t="shared" si="0"/>
        <v>0</v>
      </c>
      <c r="F31" s="5"/>
    </row>
    <row r="32" spans="1:6">
      <c r="A32" s="18" t="s">
        <v>82</v>
      </c>
      <c r="B32" s="19" t="s">
        <v>13</v>
      </c>
      <c r="C32" s="39">
        <v>1</v>
      </c>
      <c r="D32" s="46"/>
      <c r="E32" s="6">
        <f t="shared" si="0"/>
        <v>0</v>
      </c>
      <c r="F32" s="5"/>
    </row>
    <row r="33" spans="1:6">
      <c r="A33" s="20" t="s">
        <v>83</v>
      </c>
      <c r="B33" s="21" t="s">
        <v>14</v>
      </c>
      <c r="C33" s="40">
        <v>1</v>
      </c>
      <c r="D33" s="8"/>
      <c r="E33" s="6">
        <f t="shared" si="0"/>
        <v>0</v>
      </c>
      <c r="F33" s="22"/>
    </row>
    <row r="34" spans="1:6">
      <c r="A34" s="53" t="s">
        <v>16</v>
      </c>
      <c r="B34" s="53"/>
      <c r="C34" s="53"/>
      <c r="D34" s="53"/>
      <c r="E34" s="37">
        <f>SUM(E21:E33)</f>
        <v>0</v>
      </c>
      <c r="F34" s="37"/>
    </row>
    <row r="36" spans="1:6">
      <c r="A36" s="23" t="s">
        <v>17</v>
      </c>
      <c r="E36">
        <f>0.6+(0.01*E34)</f>
        <v>0.6</v>
      </c>
    </row>
    <row r="38" spans="1:6">
      <c r="A38" s="2" t="s">
        <v>18</v>
      </c>
    </row>
    <row r="39" spans="1:6" ht="39">
      <c r="A39" s="3" t="s">
        <v>35</v>
      </c>
      <c r="B39" s="3" t="s">
        <v>36</v>
      </c>
      <c r="C39" s="24" t="s">
        <v>37</v>
      </c>
      <c r="D39" s="3" t="s">
        <v>38</v>
      </c>
      <c r="E39" s="3" t="s">
        <v>39</v>
      </c>
      <c r="F39" s="13" t="s">
        <v>40</v>
      </c>
    </row>
    <row r="40" spans="1:6" ht="24">
      <c r="A40" s="26" t="s">
        <v>19</v>
      </c>
      <c r="B40" s="14" t="s">
        <v>27</v>
      </c>
      <c r="C40" s="41">
        <v>1.5</v>
      </c>
      <c r="D40" s="25"/>
      <c r="E40" s="44">
        <f t="shared" ref="E40:E47" si="1">C40*D40</f>
        <v>0</v>
      </c>
      <c r="F40" s="28"/>
    </row>
    <row r="41" spans="1:6">
      <c r="A41" s="27" t="s">
        <v>20</v>
      </c>
      <c r="B41" s="14" t="s">
        <v>28</v>
      </c>
      <c r="C41" s="41">
        <v>0.5</v>
      </c>
      <c r="D41" s="25"/>
      <c r="E41" s="44">
        <f t="shared" si="1"/>
        <v>0</v>
      </c>
      <c r="F41" s="28"/>
    </row>
    <row r="42" spans="1:6">
      <c r="A42" s="27" t="s">
        <v>21</v>
      </c>
      <c r="B42" s="14" t="s">
        <v>29</v>
      </c>
      <c r="C42" s="41">
        <v>1</v>
      </c>
      <c r="D42" s="25"/>
      <c r="E42" s="44">
        <f t="shared" si="1"/>
        <v>0</v>
      </c>
      <c r="F42" s="28"/>
    </row>
    <row r="43" spans="1:6">
      <c r="A43" s="27" t="s">
        <v>22</v>
      </c>
      <c r="B43" s="14" t="s">
        <v>30</v>
      </c>
      <c r="C43" s="41">
        <v>0.5</v>
      </c>
      <c r="D43" s="45"/>
      <c r="E43" s="44">
        <f t="shared" si="1"/>
        <v>0</v>
      </c>
      <c r="F43" s="28"/>
    </row>
    <row r="44" spans="1:6">
      <c r="A44" s="27" t="s">
        <v>23</v>
      </c>
      <c r="B44" s="14" t="s">
        <v>31</v>
      </c>
      <c r="C44" s="41">
        <v>1</v>
      </c>
      <c r="D44" s="45"/>
      <c r="E44" s="44">
        <f t="shared" si="1"/>
        <v>0</v>
      </c>
      <c r="F44" s="28"/>
    </row>
    <row r="45" spans="1:6">
      <c r="A45" s="27" t="s">
        <v>24</v>
      </c>
      <c r="B45" s="14" t="s">
        <v>32</v>
      </c>
      <c r="C45" s="41">
        <v>2</v>
      </c>
      <c r="D45" s="45"/>
      <c r="E45" s="44">
        <f t="shared" si="1"/>
        <v>0</v>
      </c>
      <c r="F45" s="28"/>
    </row>
    <row r="46" spans="1:6">
      <c r="A46" s="27" t="s">
        <v>25</v>
      </c>
      <c r="B46" s="14" t="s">
        <v>33</v>
      </c>
      <c r="C46" s="41">
        <v>-1</v>
      </c>
      <c r="D46" s="45"/>
      <c r="E46" s="44">
        <f t="shared" si="1"/>
        <v>0</v>
      </c>
      <c r="F46" s="28"/>
    </row>
    <row r="47" spans="1:6">
      <c r="A47" s="29" t="s">
        <v>26</v>
      </c>
      <c r="B47" s="30" t="s">
        <v>34</v>
      </c>
      <c r="C47" s="42">
        <v>-1</v>
      </c>
      <c r="D47" s="31"/>
      <c r="E47" s="44">
        <f t="shared" si="1"/>
        <v>0</v>
      </c>
      <c r="F47" s="32"/>
    </row>
    <row r="48" spans="1:6">
      <c r="A48" s="53" t="s">
        <v>41</v>
      </c>
      <c r="B48" s="53"/>
      <c r="C48" s="53"/>
      <c r="D48" s="53"/>
      <c r="E48" s="37">
        <f>SUM(E40:E47)</f>
        <v>0</v>
      </c>
      <c r="F48" s="37"/>
    </row>
    <row r="49" spans="1:6">
      <c r="A49" s="33"/>
      <c r="B49" s="33"/>
      <c r="C49" s="33"/>
      <c r="D49" s="33"/>
      <c r="E49" s="33"/>
      <c r="F49" s="33"/>
    </row>
    <row r="50" spans="1:6">
      <c r="A50" s="35" t="s">
        <v>42</v>
      </c>
      <c r="B50" s="34"/>
      <c r="C50" s="34"/>
      <c r="D50" s="25"/>
      <c r="E50" s="25">
        <f>1.4+(-0.03*E48)</f>
        <v>1.4</v>
      </c>
      <c r="F50" s="25"/>
    </row>
    <row r="51" spans="1:6">
      <c r="A51" s="34"/>
      <c r="B51" s="34"/>
      <c r="C51" s="34"/>
      <c r="D51" s="25"/>
      <c r="E51" s="25"/>
      <c r="F51" s="25"/>
    </row>
    <row r="52" spans="1:6">
      <c r="A52" s="36" t="s">
        <v>0</v>
      </c>
      <c r="B52" s="34"/>
      <c r="C52" s="34"/>
      <c r="D52" s="25"/>
      <c r="E52" s="25">
        <f>E17*E36*E50</f>
        <v>0</v>
      </c>
      <c r="F52" s="25"/>
    </row>
    <row r="53" spans="1:6">
      <c r="A53" s="36"/>
      <c r="B53" s="34"/>
      <c r="C53" s="34"/>
      <c r="D53" s="25"/>
      <c r="E53" s="25"/>
      <c r="F53" s="25"/>
    </row>
    <row r="54" spans="1:6" ht="27" customHeight="1">
      <c r="A54" s="36" t="s">
        <v>85</v>
      </c>
      <c r="B54" s="34"/>
      <c r="C54" s="34"/>
      <c r="D54" s="25"/>
      <c r="E54" s="43"/>
      <c r="F54" s="47" t="s">
        <v>84</v>
      </c>
    </row>
    <row r="55" spans="1:6">
      <c r="A55" s="34"/>
      <c r="B55" s="34"/>
      <c r="C55" s="34"/>
      <c r="D55" s="25"/>
      <c r="E55" s="25"/>
      <c r="F55" s="25"/>
    </row>
    <row r="56" spans="1:6">
      <c r="A56" s="36" t="s">
        <v>1</v>
      </c>
      <c r="B56" s="34"/>
      <c r="C56" s="34"/>
      <c r="D56" s="25"/>
      <c r="E56" s="25">
        <f>E52*E54</f>
        <v>0</v>
      </c>
      <c r="F56" s="25"/>
    </row>
    <row r="57" spans="1:6">
      <c r="A57" s="25"/>
      <c r="B57" s="25"/>
      <c r="C57" s="25"/>
      <c r="D57" s="25"/>
      <c r="E57" s="25"/>
      <c r="F57" s="25"/>
    </row>
  </sheetData>
  <mergeCells count="5">
    <mergeCell ref="A8:D8"/>
    <mergeCell ref="A1:E1"/>
    <mergeCell ref="A15:D15"/>
    <mergeCell ref="A34:D34"/>
    <mergeCell ref="A48:D48"/>
  </mergeCells>
  <phoneticPr fontId="4" type="noConversion"/>
  <pageMargins left="0.75" right="0.75" top="1" bottom="1" header="0.5" footer="0.5"/>
  <pageSetup orientation="landscape" horizontalDpi="4294967292" verticalDpi="4294967292"/>
  <extLst>
    <ext xmlns:mx="http://schemas.microsoft.com/office/mac/excel/2008/main" uri="{64002731-A6B0-56B0-2670-7721B7C09600}">
      <mx:PLV Mode="1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</dc:creator>
  <cp:lastModifiedBy>David Tegarden</cp:lastModifiedBy>
  <cp:lastPrinted>2015-01-05T15:29:35Z</cp:lastPrinted>
  <dcterms:created xsi:type="dcterms:W3CDTF">2015-01-05T15:06:27Z</dcterms:created>
  <dcterms:modified xsi:type="dcterms:W3CDTF">2015-01-12T19:55:11Z</dcterms:modified>
</cp:coreProperties>
</file>